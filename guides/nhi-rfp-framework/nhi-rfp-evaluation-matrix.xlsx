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FP Matrix" sheetId="2" state="visible" r:id="rId4"/>
    <sheet name="Scorecard" sheetId="3" state="visible" r:id="rId5"/>
    <sheet name="Screening Ques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<sst xmlns="http://schemas.openxmlformats.org/spreadsheetml/2006/main" count="146" uniqueCount="126">
  <si>
    <t xml:space="preserve">The NHI RFP Evaluation Matrix</t>
  </si>
  <si>
    <t xml:space="preserve">A working spreadsheet companion to the NHI RFP Framework guide</t>
  </si>
  <si>
    <t xml:space="preserve">nonhumanidentitysoftware.com/guides/nhi-rfp-framework/</t>
  </si>
  <si>
    <t xml:space="preserve">How to use this workbook</t>
  </si>
  <si>
    <t xml:space="preserve">1. RFP Matrix</t>
  </si>
  <si>
    <t xml:space="preserve">The 12-requirement evaluation matrix, organized into four categories. Each requirement is tagged Minimum (table stakes) or Advanced (the actual differentiators). For each vendor you're evaluating, record a response in the dropdown column, add notes, and a numeric score is calculated automatically.</t>
  </si>
  <si>
    <t xml:space="preserve">2. Scorecard</t>
  </si>
  <si>
    <t xml:space="preserve">Automatically rolls up the Matrix into a per-vendor summary: how many Minimum requirements each vendor clears, an Advanced-requirement score by category, and an overall 0-100 score. Rename Vendor A / B / C at the top of the Scorecard sheet.</t>
  </si>
  <si>
    <t xml:space="preserve">3. Screening Questions</t>
  </si>
  <si>
    <t xml:space="preserve">The five live-demo questions from the guide, each tied to a specific Advanced requirement. Use these in vendor technical sessions rather than written RFP responses - a written 'yes' costs a vendor nothing.</t>
  </si>
  <si>
    <t xml:space="preserve">Scoring legend (RFP Matrix response column)</t>
  </si>
  <si>
    <t xml:space="preserve">Native &amp; Automated</t>
  </si>
  <si>
    <t xml:space="preserve">3 points - the platform does this natively, without manual steps or a partner integration.</t>
  </si>
  <si>
    <t xml:space="preserve">Partial / Manual</t>
  </si>
  <si>
    <t xml:space="preserve">2 points - the capability exists but requires manual work, a partner product, or significant configuration.</t>
  </si>
  <si>
    <t xml:space="preserve">Roadmap Only</t>
  </si>
  <si>
    <t xml:space="preserve">1 point - not currently shipped; vendor describes this as planned.</t>
  </si>
  <si>
    <t xml:space="preserve">Not Met</t>
  </si>
  <si>
    <t xml:space="preserve">0 points - no capability and no committed roadmap.</t>
  </si>
  <si>
    <t xml:space="preserve">N/A</t>
  </si>
  <si>
    <t xml:space="preserve">Not scored - excluded from totals. Use when a requirement genuinely doesn't apply.</t>
  </si>
  <si>
    <t xml:space="preserve">How the Scorecard weighting works</t>
  </si>
  <si>
    <t xml:space="preserve">Minimum gate</t>
  </si>
  <si>
    <t xml:space="preserve">A vendor should clear all 4 Minimum requirements (score of at least 1, i.e. not 'Not Met') before Advanced differentiators matter much. The Scorecard flags any vendor that doesn't.</t>
  </si>
  <si>
    <t xml:space="preserve">Advanced score</t>
  </si>
  <si>
    <t xml:space="preserve">Each of the 8 Advanced requirements is worth up to 3 points, for a possible 24 points total, broken out by the same four categories as the Matrix.</t>
  </si>
  <si>
    <t xml:space="preserve">Overall score (0-100)</t>
  </si>
  <si>
    <t xml:space="preserve">40% weight on Minimum-requirement completeness, 60% weight on the Advanced score. A vendor that clears every Minimum requirement but scores zero on Advanced differentiators lands at 40/100 - a usable floor, not a ceiling.</t>
  </si>
  <si>
    <t xml:space="preserve">Source</t>
  </si>
  <si>
    <t xml:space="preserve">Adapted from 'The NHI RFP Framework: A Requirements Matrix and Five Screening Questions', an independent guide published by Non-Human Identity Software (Machines &amp; Words). No vendor relationships, no sponsored content.</t>
  </si>
  <si>
    <t xml:space="preserve">ID</t>
  </si>
  <si>
    <t xml:space="preserve">Category</t>
  </si>
  <si>
    <t xml:space="preserve">Requirement</t>
  </si>
  <si>
    <t xml:space="preserve">Description</t>
  </si>
  <si>
    <t xml:space="preserve">Level</t>
  </si>
  <si>
    <t xml:space="preserve">Vendor A - Response</t>
  </si>
  <si>
    <t xml:space="preserve">Vendor A - Score</t>
  </si>
  <si>
    <t xml:space="preserve">Vendor A - Notes</t>
  </si>
  <si>
    <t xml:space="preserve">Vendor B - Response</t>
  </si>
  <si>
    <t xml:space="preserve">Vendor B - Score</t>
  </si>
  <si>
    <t xml:space="preserve">Vendor B - Notes</t>
  </si>
  <si>
    <t xml:space="preserve">Vendor C - Response</t>
  </si>
  <si>
    <t xml:space="preserve">Vendor C - Score</t>
  </si>
  <si>
    <t xml:space="preserve">Vendor C - Notes</t>
  </si>
  <si>
    <t xml:space="preserve">1.1</t>
  </si>
  <si>
    <t xml:space="preserve">Discovery &amp; Inventory</t>
  </si>
  <si>
    <t xml:space="preserve">Vault Bypass Mapping</t>
  </si>
  <si>
    <t xml:space="preserve">Discovers active service accounts, tokens, and API keys that exist entirely outside centralized secrets managers.</t>
  </si>
  <si>
    <t xml:space="preserve">Minimum</t>
  </si>
  <si>
    <t xml:space="preserve">1.2</t>
  </si>
  <si>
    <t xml:space="preserve">Cross-SaaS Interconnectivity</t>
  </si>
  <si>
    <t xml:space="preserve">Maps SaaS-to-SaaS machine connections - OAuth marketplace apps, webhook integrations - natively via API, without an inline network proxy. See Question 3.</t>
  </si>
  <si>
    <t xml:space="preserve">Advanced</t>
  </si>
  <si>
    <t xml:space="preserve">1.3</t>
  </si>
  <si>
    <t xml:space="preserve">Ephemeral Pipeline Inventory</t>
  </si>
  <si>
    <t xml:space="preserve">Tracks short-lived, containerized, or runtime-generated secrets from creation through expiration.</t>
  </si>
  <si>
    <t xml:space="preserve">2.1</t>
  </si>
  <si>
    <t xml:space="preserve">Attribution &amp; Ownership</t>
  </si>
  <si>
    <t xml:space="preserve">Static Directory Matching</t>
  </si>
  <si>
    <t xml:space="preserve">Matches resource tags and service account metadata against entries in human identity directories such as Okta or Microsoft Entra ID.</t>
  </si>
  <si>
    <t xml:space="preserve">2.2</t>
  </si>
  <si>
    <t xml:space="preserve">Heuristic Owner Deduction</t>
  </si>
  <si>
    <t xml:space="preserve">For orphaned credentials with no usable tags, parses Git history, IaC configs, and deploy metadata to infer the team that maintains the calling code. See Question 2.</t>
  </si>
  <si>
    <t xml:space="preserve">2.3</t>
  </si>
  <si>
    <t xml:space="preserve">Safe-Fail Staging</t>
  </si>
  <si>
    <t xml:space="preserve">Provides a passive monitoring window (30-90 days) that proves a stale credential is idle before anyone revokes it. See Question 4.</t>
  </si>
  <si>
    <t xml:space="preserve">3.1</t>
  </si>
  <si>
    <t xml:space="preserve">Agentic AI Governance</t>
  </si>
  <si>
    <t xml:space="preserve">Static AI Secret Auditing</t>
  </si>
  <si>
    <t xml:space="preserve">Finds foundation-model API keys (Anthropic, OpenAI, etc.) hardcoded in environment variables or repositories.</t>
  </si>
  <si>
    <t xml:space="preserve">3.2</t>
  </si>
  <si>
    <t xml:space="preserve">Dynamic Multi-Hop Lineage</t>
  </si>
  <si>
    <t xml:space="preserve">Traces the inheritance chain of ephemeral sub-tokens an AI orchestrator (LangChain, Copilot Studio, custom agents) spawns mid-task. See Question 5.</t>
  </si>
  <si>
    <t xml:space="preserve">3.3</t>
  </si>
  <si>
    <t xml:space="preserve">Least-Agency Enforcement</t>
  </si>
  <si>
    <t xml:space="preserve">Validates downstream MCP node trust and constrains agent boundaries against OWASP ASI03 (Identity and Privilege Abuse). See Question 5.</t>
  </si>
  <si>
    <t xml:space="preserve">4.1</t>
  </si>
  <si>
    <t xml:space="preserve">Runtime Posture (NHIDR)</t>
  </si>
  <si>
    <t xml:space="preserve">Entitlement Right-Sizing</t>
  </si>
  <si>
    <t xml:space="preserve">Compares assigned permissions against actual historical usage to flag over-privileged accounts and propose minimized policies.</t>
  </si>
  <si>
    <t xml:space="preserve">4.2</t>
  </si>
  <si>
    <t xml:space="preserve">Continuous Behavior Baselines</t>
  </si>
  <si>
    <t xml:space="preserve">Analyzes network and infrastructure telemetry to flag runtime credential misuse after a token leaves the vault. See Question 1.</t>
  </si>
  <si>
    <t xml:space="preserve">4.3</t>
  </si>
  <si>
    <t xml:space="preserve">Asynchronous Log Reconciliation</t>
  </si>
  <si>
    <t xml:space="preserve">Reconstructs unified identity lineage graphs across multi-cloud environments even when logs arrive late or out of order.</t>
  </si>
  <si>
    <t xml:space="preserve">RFP Scorecard</t>
  </si>
  <si>
    <t xml:space="preserve">Vendor names are editable. Scores pull automatically from the RFP Matrix sheet.</t>
  </si>
  <si>
    <t xml:space="preserve">Vendor</t>
  </si>
  <si>
    <t xml:space="preserve">Vendor A</t>
  </si>
  <si>
    <t xml:space="preserve">Vendor B</t>
  </si>
  <si>
    <t xml:space="preserve">Vendor C</t>
  </si>
  <si>
    <t xml:space="preserve">Minimum requirements met (of 4)</t>
  </si>
  <si>
    <t xml:space="preserve">Advanced score by category (of 6 each)</t>
  </si>
  <si>
    <t xml:space="preserve">  Discovery &amp; Inventory</t>
  </si>
  <si>
    <t xml:space="preserve">  Attribution &amp; Ownership</t>
  </si>
  <si>
    <t xml:space="preserve">  Agentic AI Governance</t>
  </si>
  <si>
    <t xml:space="preserve">  Runtime Posture (NHIDR)</t>
  </si>
  <si>
    <t xml:space="preserve">Total advanced score (of 24)</t>
  </si>
  <si>
    <t xml:space="preserve">40% weight on Minimum-requirement completeness, 60% on the Advanced score. See the Instructions sheet for the full scoring legend.</t>
  </si>
  <si>
    <t xml:space="preserve">Five Screening Questions</t>
  </si>
  <si>
    <t xml:space="preserve">Ask these live in vendor demos. Each maps to one Advanced requirement on the RFP Matrix sheet.</t>
  </si>
  <si>
    <t xml:space="preserve">Maps to</t>
  </si>
  <si>
    <t xml:space="preserve">Ask this</t>
  </si>
  <si>
    <t xml:space="preserve">What a real answer includes</t>
  </si>
  <si>
    <t xml:space="preserve">Red flags</t>
  </si>
  <si>
    <t xml:space="preserve">Q1 -&gt; 4.2</t>
  </si>
  <si>
    <t xml:space="preserve">Once a token is checked out of [your secrets manager] and sitting in an application's active memory, how does your platform monitor what it does next, and how would it detect anomalous use?</t>
  </si>
  <si>
    <t xml:space="preserve">- Explicit NHIDR-style architecture: detection and response, not just posture
- Ingests secondary telemetry: VPC flow logs, CloudTrail, API gateway events
- A behavioral baseline per credential
- Concrete anomaly examples: bulk queries, new region, off-hours activity</t>
  </si>
  <si>
    <t xml:space="preserve">- Answer is entirely about vault checkout logging or rotation schedules
- '90-day rotation' offered as the answer to a runtime-behavior question
- No telemetry source outside the secrets manager itself</t>
  </si>
  <si>
    <t xml:space="preserve">Q2 -&gt; 2.2</t>
  </si>
  <si>
    <t xml:space="preserve">When you discover a shadow service account whose creator has already left the company, how does your platform determine who owns it now?</t>
  </si>
  <si>
    <t xml:space="preserve">- Cross-system relational engine: Git blame, IaC configs, pipeline metadata, CMDB
- Ranked suggestion of the team that actively maintains the calling code
- Works even when the account name doesn't match any naming convention</t>
  </si>
  <si>
    <t xml:space="preserve">- 'Your team assigns ownership manually in our dashboard' is the entire answer
- Owner matching relies on exact string-matching of account names
- No mention of source code, IaC, or pipeline metadata as inputs</t>
  </si>
  <si>
    <t xml:space="preserve">Q3 -&gt; 1.2</t>
  </si>
  <si>
    <t xml:space="preserve">Can you map an OAuth token connecting [Salesforce] to [Slack] or a GitHub repository - end to end - without sitting inline on the network?</t>
  </si>
  <si>
    <t xml:space="preserve">- Direct API-level access to marketplace consent records and OAuth scopes per SaaS tenant
- A connection graph spanning multiple SaaS platforms, not just cloud infrastructure
- No requirement to route traffic through an appliance or browser extension</t>
  </si>
  <si>
    <t xml:space="preserve">- Visibility stops at the AWS/Azure/GCP boundary or container runtime
- SaaS-to-SaaS mapping requires a proxy, CASB agent, or browser extension
- 'We can see it if it shows up in your SSO logs' - most app-to-app grants never do</t>
  </si>
  <si>
    <t xml:space="preserve">Q4 -&gt; 2.3</t>
  </si>
  <si>
    <t xml:space="preserve">Before I revoke this credential, what evidence does your platform give me that it's actually unused - and over what time window?</t>
  </si>
  <si>
    <t xml:space="preserve">- A defined rolling observation window (30/60/90 days) with zero-usage confirmation
- A simulated or staged revocation step before the real one executes
- An audit trail of the evidence, suitable for a change-management ticket</t>
  </si>
  <si>
    <t xml:space="preserve">- An immediate delete/revoke button with no historical verification
- 'Revoke it and see what breaks' offered as the methodology
- No rolling window - just a single point-in-time usage check</t>
  </si>
  <si>
    <t xml:space="preserve">Q5 -&gt; 3.2 / 3.3</t>
  </si>
  <si>
    <t xml:space="preserve">Walk me through what happens in your platform when an AI orchestrator spins up a new MCP connection and mints a session token to call three different internal systems.</t>
  </si>
  <si>
    <t xml:space="preserve">- Recognizes orchestrator footprints (LangChain, Copilot Studio, custom agents) as a distinct identity class
- Traces the parent-to-sub-token inheritance chain as it's created
- Least-agency constraints (time-bound, scoped, revocable) on the agent's downstream access
- Explicit reference to OWASP Agentic AI risk categories, especially ASI03</t>
  </si>
  <si>
    <t xml:space="preserve">- 'An AI token is just a string - our database treats it like any other API key'
- No distinction between a long-lived service account and an ephemeral, multi-hop agent session
- No way to constrain or time-box what an agent's minted tokens can do downstream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</si>
</sst>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B3FA6"/>
      <name val="Calibri"/>
      <family val="0"/>
      <charset val="1"/>
    </font>
    <font>
      <i val="true"/>
      <sz val="10"/>
      <color rgb="FF6B6B68"/>
      <name val="Calibri"/>
      <family val="0"/>
      <charset val="1"/>
    </font>
    <font>
      <u val="single"/>
      <sz val="10"/>
      <color rgb="FF7B3FA6"/>
      <name val="Calibri"/>
      <family val="0"/>
      <charset val="1"/>
    </font>
    <font>
      <b val="true"/>
      <sz val="10"/>
      <color rgb="FF2A2A28"/>
      <name val="Calibri"/>
      <family val="0"/>
      <charset val="1"/>
    </font>
    <font>
      <sz val="10"/>
      <color rgb="FF2A2A2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0"/>
      <color rgb="FF7B3FA6"/>
      <name val="Calibri"/>
      <family val="0"/>
      <charset val="1"/>
    </font>
    <font>
      <b val="true"/>
      <sz val="12"/>
      <color rgb="FF7B3FA6"/>
      <name val="Calibri"/>
      <family val="0"/>
      <charset val="1"/>
    </font>
    <font>
      <i val="true"/>
      <sz val="9"/>
      <color rgb="FF6B6B68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B3FA6"/>
        <bgColor rgb="FF993366"/>
      </patternFill>
    </fill>
    <fill>
      <patternFill patternType="solid">
        <fgColor rgb="FFF1E9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8D6"/>
      </left>
      <right style="thin">
        <color rgb="FFD8D8D6"/>
      </right>
      <top style="thin">
        <color rgb="FFD8D8D6"/>
      </top>
      <bottom style="thin">
        <color rgb="FFD8D8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3FA6"/>
      <rgbColor rgb="FFF1E9F8"/>
      <rgbColor rgb="FFCCFFFF"/>
      <rgbColor rgb="FF660066"/>
      <rgbColor rgb="FFFF8080"/>
      <rgbColor rgb="FF0066CC"/>
      <rgbColor rgb="FFD8D8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A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6" customFormat="false" ht="15" hidden="false" customHeight="false" outlineLevel="0" collapsed="false">
      <c r="A6" s="4" t="s">
        <v>3</v>
      </c>
    </row>
    <row r="7" customFormat="false" ht="48" hidden="false" customHeight="true" outlineLevel="0" collapsed="false">
      <c r="A7" s="5" t="s">
        <v>4</v>
      </c>
      <c r="B7" s="6" t="s">
        <v>5</v>
      </c>
    </row>
    <row r="8" customFormat="false" ht="48" hidden="false" customHeight="true" outlineLevel="0" collapsed="false">
      <c r="A8" s="5" t="s">
        <v>6</v>
      </c>
      <c r="B8" s="6" t="s">
        <v>7</v>
      </c>
    </row>
    <row r="9" customFormat="false" ht="48" hidden="false" customHeight="true" outlineLevel="0" collapsed="false">
      <c r="A9" s="5" t="s">
        <v>8</v>
      </c>
      <c r="B9" s="6" t="s">
        <v>9</v>
      </c>
    </row>
    <row r="11" customFormat="false" ht="15" hidden="false" customHeight="false" outlineLevel="0" collapsed="false">
      <c r="A11" s="4" t="s">
        <v>10</v>
      </c>
    </row>
    <row r="12" customFormat="false" ht="48" hidden="false" customHeight="true" outlineLevel="0" collapsed="false">
      <c r="A12" s="5" t="s">
        <v>11</v>
      </c>
      <c r="B12" s="6" t="s">
        <v>12</v>
      </c>
    </row>
    <row r="13" customFormat="false" ht="48" hidden="false" customHeight="true" outlineLevel="0" collapsed="false">
      <c r="A13" s="5" t="s">
        <v>13</v>
      </c>
      <c r="B13" s="6" t="s">
        <v>14</v>
      </c>
    </row>
    <row r="14" customFormat="false" ht="48" hidden="false" customHeight="true" outlineLevel="0" collapsed="false">
      <c r="A14" s="5" t="s">
        <v>15</v>
      </c>
      <c r="B14" s="6" t="s">
        <v>16</v>
      </c>
    </row>
    <row r="15" customFormat="false" ht="48" hidden="false" customHeight="true" outlineLevel="0" collapsed="false">
      <c r="A15" s="5" t="s">
        <v>17</v>
      </c>
      <c r="B15" s="6" t="s">
        <v>18</v>
      </c>
    </row>
    <row r="16" customFormat="false" ht="48" hidden="false" customHeight="true" outlineLevel="0" collapsed="false">
      <c r="A16" s="5" t="s">
        <v>19</v>
      </c>
      <c r="B16" s="6" t="s">
        <v>20</v>
      </c>
    </row>
    <row r="18" customFormat="false" ht="15" hidden="false" customHeight="false" outlineLevel="0" collapsed="false">
      <c r="A18" s="4" t="s">
        <v>21</v>
      </c>
    </row>
    <row r="19" customFormat="false" ht="48" hidden="false" customHeight="true" outlineLevel="0" collapsed="false">
      <c r="A19" s="5" t="s">
        <v>22</v>
      </c>
      <c r="B19" s="6" t="s">
        <v>23</v>
      </c>
    </row>
    <row r="20" customFormat="false" ht="48" hidden="false" customHeight="true" outlineLevel="0" collapsed="false">
      <c r="A20" s="5" t="s">
        <v>24</v>
      </c>
      <c r="B20" s="6" t="s">
        <v>25</v>
      </c>
    </row>
    <row r="21" customFormat="false" ht="48" hidden="false" customHeight="true" outlineLevel="0" collapsed="false">
      <c r="A21" s="5" t="s">
        <v>26</v>
      </c>
      <c r="B21" s="6" t="s">
        <v>27</v>
      </c>
    </row>
    <row r="23" customFormat="false" ht="48" hidden="false" customHeight="true" outlineLevel="0" collapsed="false">
      <c r="A23" s="5" t="s">
        <v>28</v>
      </c>
      <c r="B23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1" min="11" style="0" width="30"/>
    <col collapsed="false" customWidth="true" hidden="false" outlineLevel="0" max="12" min="12" style="0" width="16"/>
    <col collapsed="false" customWidth="true" hidden="false" outlineLevel="0" max="13" min="13" style="0" width="8"/>
    <col collapsed="false" customWidth="true" hidden="false" outlineLevel="0" max="14" min="14" style="0" width="30"/>
  </cols>
  <sheetData>
    <row r="1" customFormat="false" ht="41.75" hidden="false" customHeight="false" outlineLevel="0" collapsed="false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</row>
    <row r="2" customFormat="false" ht="60" hidden="false" customHeight="true" outlineLevel="0" collapsed="false">
      <c r="A2" s="8" t="s">
        <v>44</v>
      </c>
      <c r="B2" s="9" t="s">
        <v>45</v>
      </c>
      <c r="C2" s="9" t="s">
        <v>46</v>
      </c>
      <c r="D2" s="9" t="s">
        <v>47</v>
      </c>
      <c r="E2" s="8" t="s">
        <v>48</v>
      </c>
      <c r="F2" s="10"/>
      <c r="G2" s="11" t="str">
        <f aca="false">_xlfn.IFS(F2="Native &amp; Automated",3,F2="Partial / Manual",2,F2="Roadmap Only",1,F2="Not Met",0,TRUE(),"")</f>
        <v/>
      </c>
      <c r="H2" s="9"/>
      <c r="I2" s="10"/>
      <c r="J2" s="11" t="str">
        <f aca="false">_xlfn.IFS(I2="Native &amp; Automated",3,I2="Partial / Manual",2,I2="Roadmap Only",1,I2="Not Met",0,TRUE(),"")</f>
        <v/>
      </c>
      <c r="K2" s="9"/>
      <c r="L2" s="10"/>
      <c r="M2" s="11" t="str">
        <f aca="false">_xlfn.IFS(L2="Native &amp; Automated",3,L2="Partial / Manual",2,L2="Roadmap Only",1,L2="Not Met",0,TRUE(),"")</f>
        <v/>
      </c>
      <c r="N2" s="9"/>
    </row>
    <row r="3" customFormat="false" ht="60" hidden="false" customHeight="true" outlineLevel="0" collapsed="false">
      <c r="A3" s="8" t="s">
        <v>49</v>
      </c>
      <c r="B3" s="9" t="s">
        <v>45</v>
      </c>
      <c r="C3" s="9" t="s">
        <v>50</v>
      </c>
      <c r="D3" s="9" t="s">
        <v>51</v>
      </c>
      <c r="E3" s="12" t="s">
        <v>52</v>
      </c>
      <c r="F3" s="10"/>
      <c r="G3" s="11" t="str">
        <f aca="false">_xlfn.IFS(F3="Native &amp; Automated",3,F3="Partial / Manual",2,F3="Roadmap Only",1,F3="Not Met",0,TRUE(),"")</f>
        <v/>
      </c>
      <c r="H3" s="9"/>
      <c r="I3" s="10"/>
      <c r="J3" s="11" t="str">
        <f aca="false">_xlfn.IFS(I3="Native &amp; Automated",3,I3="Partial / Manual",2,I3="Roadmap Only",1,I3="Not Met",0,TRUE(),"")</f>
        <v/>
      </c>
      <c r="K3" s="9"/>
      <c r="L3" s="10"/>
      <c r="M3" s="11" t="str">
        <f aca="false">_xlfn.IFS(L3="Native &amp; Automated",3,L3="Partial / Manual",2,L3="Roadmap Only",1,L3="Not Met",0,TRUE(),"")</f>
        <v/>
      </c>
      <c r="N3" s="9"/>
    </row>
    <row r="4" customFormat="false" ht="60" hidden="false" customHeight="true" outlineLevel="0" collapsed="false">
      <c r="A4" s="8" t="s">
        <v>53</v>
      </c>
      <c r="B4" s="9" t="s">
        <v>45</v>
      </c>
      <c r="C4" s="9" t="s">
        <v>54</v>
      </c>
      <c r="D4" s="9" t="s">
        <v>55</v>
      </c>
      <c r="E4" s="12" t="s">
        <v>52</v>
      </c>
      <c r="F4" s="10"/>
      <c r="G4" s="11" t="str">
        <f aca="false">_xlfn.IFS(F4="Native &amp; Automated",3,F4="Partial / Manual",2,F4="Roadmap Only",1,F4="Not Met",0,TRUE(),"")</f>
        <v/>
      </c>
      <c r="H4" s="9"/>
      <c r="I4" s="10"/>
      <c r="J4" s="11" t="str">
        <f aca="false">_xlfn.IFS(I4="Native &amp; Automated",3,I4="Partial / Manual",2,I4="Roadmap Only",1,I4="Not Met",0,TRUE(),"")</f>
        <v/>
      </c>
      <c r="K4" s="9"/>
      <c r="L4" s="10"/>
      <c r="M4" s="11" t="str">
        <f aca="false">_xlfn.IFS(L4="Native &amp; Automated",3,L4="Partial / Manual",2,L4="Roadmap Only",1,L4="Not Met",0,TRUE(),"")</f>
        <v/>
      </c>
      <c r="N4" s="9"/>
    </row>
    <row r="5" customFormat="false" ht="60" hidden="false" customHeight="true" outlineLevel="0" collapsed="false">
      <c r="A5" s="13" t="s">
        <v>56</v>
      </c>
      <c r="B5" s="14" t="s">
        <v>57</v>
      </c>
      <c r="C5" s="14" t="s">
        <v>58</v>
      </c>
      <c r="D5" s="14" t="s">
        <v>59</v>
      </c>
      <c r="E5" s="13" t="s">
        <v>48</v>
      </c>
      <c r="F5" s="15"/>
      <c r="G5" s="16" t="str">
        <f aca="false">_xlfn.IFS(F5="Native &amp; Automated",3,F5="Partial / Manual",2,F5="Roadmap Only",1,F5="Not Met",0,TRUE(),"")</f>
        <v/>
      </c>
      <c r="H5" s="14"/>
      <c r="I5" s="15"/>
      <c r="J5" s="16" t="str">
        <f aca="false">_xlfn.IFS(I5="Native &amp; Automated",3,I5="Partial / Manual",2,I5="Roadmap Only",1,I5="Not Met",0,TRUE(),"")</f>
        <v/>
      </c>
      <c r="K5" s="14"/>
      <c r="L5" s="15"/>
      <c r="M5" s="16" t="str">
        <f aca="false">_xlfn.IFS(L5="Native &amp; Automated",3,L5="Partial / Manual",2,L5="Roadmap Only",1,L5="Not Met",0,TRUE(),"")</f>
        <v/>
      </c>
      <c r="N5" s="14"/>
    </row>
    <row r="6" customFormat="false" ht="60" hidden="false" customHeight="true" outlineLevel="0" collapsed="false">
      <c r="A6" s="13" t="s">
        <v>60</v>
      </c>
      <c r="B6" s="14" t="s">
        <v>57</v>
      </c>
      <c r="C6" s="14" t="s">
        <v>61</v>
      </c>
      <c r="D6" s="14" t="s">
        <v>62</v>
      </c>
      <c r="E6" s="17" t="s">
        <v>52</v>
      </c>
      <c r="F6" s="15"/>
      <c r="G6" s="16" t="str">
        <f aca="false">_xlfn.IFS(F6="Native &amp; Automated",3,F6="Partial / Manual",2,F6="Roadmap Only",1,F6="Not Met",0,TRUE(),"")</f>
        <v/>
      </c>
      <c r="H6" s="14"/>
      <c r="I6" s="15"/>
      <c r="J6" s="16" t="str">
        <f aca="false">_xlfn.IFS(I6="Native &amp; Automated",3,I6="Partial / Manual",2,I6="Roadmap Only",1,I6="Not Met",0,TRUE(),"")</f>
        <v/>
      </c>
      <c r="K6" s="14"/>
      <c r="L6" s="15"/>
      <c r="M6" s="16" t="str">
        <f aca="false">_xlfn.IFS(L6="Native &amp; Automated",3,L6="Partial / Manual",2,L6="Roadmap Only",1,L6="Not Met",0,TRUE(),"")</f>
        <v/>
      </c>
      <c r="N6" s="14"/>
    </row>
    <row r="7" customFormat="false" ht="60" hidden="false" customHeight="true" outlineLevel="0" collapsed="false">
      <c r="A7" s="13" t="s">
        <v>63</v>
      </c>
      <c r="B7" s="14" t="s">
        <v>57</v>
      </c>
      <c r="C7" s="14" t="s">
        <v>64</v>
      </c>
      <c r="D7" s="14" t="s">
        <v>65</v>
      </c>
      <c r="E7" s="17" t="s">
        <v>52</v>
      </c>
      <c r="F7" s="15"/>
      <c r="G7" s="16" t="str">
        <f aca="false">_xlfn.IFS(F7="Native &amp; Automated",3,F7="Partial / Manual",2,F7="Roadmap Only",1,F7="Not Met",0,TRUE(),"")</f>
        <v/>
      </c>
      <c r="H7" s="14"/>
      <c r="I7" s="15"/>
      <c r="J7" s="16" t="str">
        <f aca="false">_xlfn.IFS(I7="Native &amp; Automated",3,I7="Partial / Manual",2,I7="Roadmap Only",1,I7="Not Met",0,TRUE(),"")</f>
        <v/>
      </c>
      <c r="K7" s="14"/>
      <c r="L7" s="15"/>
      <c r="M7" s="16" t="str">
        <f aca="false">_xlfn.IFS(L7="Native &amp; Automated",3,L7="Partial / Manual",2,L7="Roadmap Only",1,L7="Not Met",0,TRUE(),"")</f>
        <v/>
      </c>
      <c r="N7" s="14"/>
    </row>
    <row r="8" customFormat="false" ht="60" hidden="false" customHeight="true" outlineLevel="0" collapsed="false">
      <c r="A8" s="8" t="s">
        <v>66</v>
      </c>
      <c r="B8" s="9" t="s">
        <v>67</v>
      </c>
      <c r="C8" s="9" t="s">
        <v>68</v>
      </c>
      <c r="D8" s="9" t="s">
        <v>69</v>
      </c>
      <c r="E8" s="8" t="s">
        <v>48</v>
      </c>
      <c r="F8" s="10"/>
      <c r="G8" s="11" t="str">
        <f aca="false">_xlfn.IFS(F8="Native &amp; Automated",3,F8="Partial / Manual",2,F8="Roadmap Only",1,F8="Not Met",0,TRUE(),"")</f>
        <v/>
      </c>
      <c r="H8" s="9"/>
      <c r="I8" s="10"/>
      <c r="J8" s="11" t="str">
        <f aca="false">_xlfn.IFS(I8="Native &amp; Automated",3,I8="Partial / Manual",2,I8="Roadmap Only",1,I8="Not Met",0,TRUE(),"")</f>
        <v/>
      </c>
      <c r="K8" s="9"/>
      <c r="L8" s="10"/>
      <c r="M8" s="11" t="str">
        <f aca="false">_xlfn.IFS(L8="Native &amp; Automated",3,L8="Partial / Manual",2,L8="Roadmap Only",1,L8="Not Met",0,TRUE(),"")</f>
        <v/>
      </c>
      <c r="N8" s="9"/>
    </row>
    <row r="9" customFormat="false" ht="60" hidden="false" customHeight="true" outlineLevel="0" collapsed="false">
      <c r="A9" s="8" t="s">
        <v>70</v>
      </c>
      <c r="B9" s="9" t="s">
        <v>67</v>
      </c>
      <c r="C9" s="9" t="s">
        <v>71</v>
      </c>
      <c r="D9" s="9" t="s">
        <v>72</v>
      </c>
      <c r="E9" s="12" t="s">
        <v>52</v>
      </c>
      <c r="F9" s="10"/>
      <c r="G9" s="11" t="str">
        <f aca="false">_xlfn.IFS(F9="Native &amp; Automated",3,F9="Partial / Manual",2,F9="Roadmap Only",1,F9="Not Met",0,TRUE(),"")</f>
        <v/>
      </c>
      <c r="H9" s="9"/>
      <c r="I9" s="10"/>
      <c r="J9" s="11" t="str">
        <f aca="false">_xlfn.IFS(I9="Native &amp; Automated",3,I9="Partial / Manual",2,I9="Roadmap Only",1,I9="Not Met",0,TRUE(),"")</f>
        <v/>
      </c>
      <c r="K9" s="9"/>
      <c r="L9" s="10"/>
      <c r="M9" s="11" t="str">
        <f aca="false">_xlfn.IFS(L9="Native &amp; Automated",3,L9="Partial / Manual",2,L9="Roadmap Only",1,L9="Not Met",0,TRUE(),"")</f>
        <v/>
      </c>
      <c r="N9" s="9"/>
    </row>
    <row r="10" customFormat="false" ht="60" hidden="false" customHeight="true" outlineLevel="0" collapsed="false">
      <c r="A10" s="8" t="s">
        <v>73</v>
      </c>
      <c r="B10" s="9" t="s">
        <v>67</v>
      </c>
      <c r="C10" s="9" t="s">
        <v>74</v>
      </c>
      <c r="D10" s="9" t="s">
        <v>75</v>
      </c>
      <c r="E10" s="12" t="s">
        <v>52</v>
      </c>
      <c r="F10" s="10"/>
      <c r="G10" s="11" t="str">
        <f aca="false">_xlfn.IFS(F10="Native &amp; Automated",3,F10="Partial / Manual",2,F10="Roadmap Only",1,F10="Not Met",0,TRUE(),"")</f>
        <v/>
      </c>
      <c r="H10" s="9"/>
      <c r="I10" s="10"/>
      <c r="J10" s="11" t="str">
        <f aca="false">_xlfn.IFS(I10="Native &amp; Automated",3,I10="Partial / Manual",2,I10="Roadmap Only",1,I10="Not Met",0,TRUE(),"")</f>
        <v/>
      </c>
      <c r="K10" s="9"/>
      <c r="L10" s="10"/>
      <c r="M10" s="11" t="str">
        <f aca="false">_xlfn.IFS(L10="Native &amp; Automated",3,L10="Partial / Manual",2,L10="Roadmap Only",1,L10="Not Met",0,TRUE(),"")</f>
        <v/>
      </c>
      <c r="N10" s="9"/>
    </row>
    <row r="11" customFormat="false" ht="60" hidden="false" customHeight="true" outlineLevel="0" collapsed="false">
      <c r="A11" s="13" t="s">
        <v>76</v>
      </c>
      <c r="B11" s="14" t="s">
        <v>77</v>
      </c>
      <c r="C11" s="14" t="s">
        <v>78</v>
      </c>
      <c r="D11" s="14" t="s">
        <v>79</v>
      </c>
      <c r="E11" s="13" t="s">
        <v>48</v>
      </c>
      <c r="F11" s="15"/>
      <c r="G11" s="16" t="str">
        <f aca="false">_xlfn.IFS(F11="Native &amp; Automated",3,F11="Partial / Manual",2,F11="Roadmap Only",1,F11="Not Met",0,TRUE(),"")</f>
        <v/>
      </c>
      <c r="H11" s="14"/>
      <c r="I11" s="15"/>
      <c r="J11" s="16" t="str">
        <f aca="false">_xlfn.IFS(I11="Native &amp; Automated",3,I11="Partial / Manual",2,I11="Roadmap Only",1,I11="Not Met",0,TRUE(),"")</f>
        <v/>
      </c>
      <c r="K11" s="14"/>
      <c r="L11" s="15"/>
      <c r="M11" s="16" t="str">
        <f aca="false">_xlfn.IFS(L11="Native &amp; Automated",3,L11="Partial / Manual",2,L11="Roadmap Only",1,L11="Not Met",0,TRUE(),"")</f>
        <v/>
      </c>
      <c r="N11" s="14"/>
    </row>
    <row r="12" customFormat="false" ht="60" hidden="false" customHeight="true" outlineLevel="0" collapsed="false">
      <c r="A12" s="13" t="s">
        <v>80</v>
      </c>
      <c r="B12" s="14" t="s">
        <v>77</v>
      </c>
      <c r="C12" s="14" t="s">
        <v>81</v>
      </c>
      <c r="D12" s="14" t="s">
        <v>82</v>
      </c>
      <c r="E12" s="17" t="s">
        <v>52</v>
      </c>
      <c r="F12" s="15"/>
      <c r="G12" s="16" t="str">
        <f aca="false">_xlfn.IFS(F12="Native &amp; Automated",3,F12="Partial / Manual",2,F12="Roadmap Only",1,F12="Not Met",0,TRUE(),"")</f>
        <v/>
      </c>
      <c r="H12" s="14"/>
      <c r="I12" s="15"/>
      <c r="J12" s="16" t="str">
        <f aca="false">_xlfn.IFS(I12="Native &amp; Automated",3,I12="Partial / Manual",2,I12="Roadmap Only",1,I12="Not Met",0,TRUE(),"")</f>
        <v/>
      </c>
      <c r="K12" s="14"/>
      <c r="L12" s="15"/>
      <c r="M12" s="16" t="str">
        <f aca="false">_xlfn.IFS(L12="Native &amp; Automated",3,L12="Partial / Manual",2,L12="Roadmap Only",1,L12="Not Met",0,TRUE(),"")</f>
        <v/>
      </c>
      <c r="N12" s="14"/>
    </row>
    <row r="13" customFormat="false" ht="60" hidden="false" customHeight="true" outlineLevel="0" collapsed="false">
      <c r="A13" s="13" t="s">
        <v>83</v>
      </c>
      <c r="B13" s="14" t="s">
        <v>77</v>
      </c>
      <c r="C13" s="14" t="s">
        <v>84</v>
      </c>
      <c r="D13" s="14" t="s">
        <v>85</v>
      </c>
      <c r="E13" s="17" t="s">
        <v>52</v>
      </c>
      <c r="F13" s="15"/>
      <c r="G13" s="16" t="str">
        <f aca="false">_xlfn.IFS(F13="Native &amp; Automated",3,F13="Partial / Manual",2,F13="Roadmap Only",1,F13="Not Met",0,TRUE(),"")</f>
        <v/>
      </c>
      <c r="H13" s="14"/>
      <c r="I13" s="15"/>
      <c r="J13" s="16" t="str">
        <f aca="false">_xlfn.IFS(I13="Native &amp; Automated",3,I13="Partial / Manual",2,I13="Roadmap Only",1,I13="Not Met",0,TRUE(),"")</f>
        <v/>
      </c>
      <c r="K13" s="14"/>
      <c r="L13" s="15"/>
      <c r="M13" s="16" t="str">
        <f aca="false">_xlfn.IFS(L13="Native &amp; Automated",3,L13="Partial / Manual",2,L13="Roadmap Only",1,L13="Not Met",0,TRUE(),"")</f>
        <v/>
      </c>
      <c r="N13" s="14"/>
    </row>
  </sheetData>
  <dataValidations count="3">
    <dataValidation allowBlank="true" errorStyle="stop" operator="between" showDropDown="false" showErrorMessage="false" showInputMessage="false" sqref="F2:F13" type="list">
      <formula1>"Native &amp; Automated,Partial / Manual,Roadmap Only,Not Met,N/A"</formula1>
      <formula2>0</formula2>
    </dataValidation>
    <dataValidation allowBlank="true" errorStyle="stop" operator="between" showDropDown="false" showErrorMessage="false" showInputMessage="false" sqref="I2:I13" type="list">
      <formula1>"Native &amp; Automated,Partial / Manual,Roadmap Only,Not Met,N/A"</formula1>
      <formula2>0</formula2>
    </dataValidation>
    <dataValidation allowBlank="true" errorStyle="stop" operator="between" showDropDown="false" showErrorMessage="false" showInputMessage="false" sqref="L2:L13" type="list">
      <formula1>"Native &amp; Automated,Partial / Manual,Roadmap Only,Not Met,N/A"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15" hidden="false" customHeight="false" outlineLevel="0" collapsed="false">
      <c r="A4" s="18" t="s">
        <v>88</v>
      </c>
      <c r="B4" s="19" t="s">
        <v>89</v>
      </c>
      <c r="C4" s="19" t="s">
        <v>90</v>
      </c>
      <c r="D4" s="19" t="s">
        <v>91</v>
      </c>
    </row>
    <row r="6" customFormat="false" ht="15" hidden="false" customHeight="false" outlineLevel="0" collapsed="false">
      <c r="A6" s="20" t="s">
        <v>92</v>
      </c>
      <c r="B6" s="11" t="n">
        <f aca="false">COUNTIFS('RFP Matrix'!E2:E13,"Minimum",'RFP Matrix'!G2:G13,"&gt;=1")</f>
        <v>0</v>
      </c>
      <c r="C6" s="11" t="n">
        <f aca="false">COUNTIFS('RFP Matrix'!E2:E13,"Minimum",'RFP Matrix'!J2:J13,"&gt;=1")</f>
        <v>0</v>
      </c>
      <c r="D6" s="11" t="n">
        <f aca="false">COUNTIFS('RFP Matrix'!E2:E13,"Minimum",'RFP Matrix'!M2:M13,"&gt;=1")</f>
        <v>0</v>
      </c>
    </row>
    <row r="7" customFormat="false" ht="30" hidden="false" customHeight="true" outlineLevel="0" collapsed="false">
      <c r="A7" s="20" t="s">
        <v>22</v>
      </c>
      <c r="B7" s="8" t="str">
        <f aca="false">IF(B6=4,"PASS","REVIEW - "&amp;(4-B6)&amp;" min. item(s) not met")</f>
        <v>REVIEW - 4 min. item(s) not met</v>
      </c>
      <c r="C7" s="8" t="str">
        <f aca="false">IF(C6=4,"PASS","REVIEW - "&amp;(4-C6)&amp;" min. item(s) not met")</f>
        <v>REVIEW - 4 min. item(s) not met</v>
      </c>
      <c r="D7" s="8" t="str">
        <f aca="false">IF(D6=4,"PASS","REVIEW - "&amp;(4-D6)&amp;" min. item(s) not met")</f>
        <v>REVIEW - 4 min. item(s) not met</v>
      </c>
    </row>
    <row r="9" customFormat="false" ht="15" hidden="false" customHeight="false" outlineLevel="0" collapsed="false">
      <c r="A9" s="21" t="s">
        <v>93</v>
      </c>
      <c r="B9" s="22"/>
      <c r="C9" s="22"/>
      <c r="D9" s="22"/>
    </row>
    <row r="10" customFormat="false" ht="15" hidden="false" customHeight="false" outlineLevel="0" collapsed="false">
      <c r="A10" s="23" t="s">
        <v>94</v>
      </c>
      <c r="B10" s="11" t="n">
        <f aca="false">SUMIFS('RFP Matrix'!G2:G13,'RFP Matrix'!B2:B13,"Discovery &amp; Inventory",'RFP Matrix'!E2:E13,"Advanced")</f>
        <v>0</v>
      </c>
      <c r="C10" s="11" t="n">
        <f aca="false">SUMIFS('RFP Matrix'!J2:J13,'RFP Matrix'!B2:B13,"Discovery &amp; Inventory",'RFP Matrix'!E2:E13,"Advanced")</f>
        <v>0</v>
      </c>
      <c r="D10" s="11" t="n">
        <f aca="false">SUMIFS('RFP Matrix'!M2:M13,'RFP Matrix'!B2:B13,"Discovery &amp; Inventory",'RFP Matrix'!E2:E13,"Advanced")</f>
        <v>0</v>
      </c>
    </row>
    <row r="11" customFormat="false" ht="15" hidden="false" customHeight="false" outlineLevel="0" collapsed="false">
      <c r="A11" s="23" t="s">
        <v>95</v>
      </c>
      <c r="B11" s="11" t="n">
        <f aca="false">SUMIFS('RFP Matrix'!G2:G13,'RFP Matrix'!B2:B13,"Attribution &amp; Ownership",'RFP Matrix'!E2:E13,"Advanced")</f>
        <v>0</v>
      </c>
      <c r="C11" s="11" t="n">
        <f aca="false">SUMIFS('RFP Matrix'!J2:J13,'RFP Matrix'!B2:B13,"Attribution &amp; Ownership",'RFP Matrix'!E2:E13,"Advanced")</f>
        <v>0</v>
      </c>
      <c r="D11" s="11" t="n">
        <f aca="false">SUMIFS('RFP Matrix'!M2:M13,'RFP Matrix'!B2:B13,"Attribution &amp; Ownership",'RFP Matrix'!E2:E13,"Advanced")</f>
        <v>0</v>
      </c>
    </row>
    <row r="12" customFormat="false" ht="15" hidden="false" customHeight="false" outlineLevel="0" collapsed="false">
      <c r="A12" s="23" t="s">
        <v>96</v>
      </c>
      <c r="B12" s="11" t="n">
        <f aca="false">SUMIFS('RFP Matrix'!G2:G13,'RFP Matrix'!B2:B13,"Agentic AI Governance",'RFP Matrix'!E2:E13,"Advanced")</f>
        <v>0</v>
      </c>
      <c r="C12" s="11" t="n">
        <f aca="false">SUMIFS('RFP Matrix'!J2:J13,'RFP Matrix'!B2:B13,"Agentic AI Governance",'RFP Matrix'!E2:E13,"Advanced")</f>
        <v>0</v>
      </c>
      <c r="D12" s="11" t="n">
        <f aca="false">SUMIFS('RFP Matrix'!M2:M13,'RFP Matrix'!B2:B13,"Agentic AI Governance",'RFP Matrix'!E2:E13,"Advanced")</f>
        <v>0</v>
      </c>
    </row>
    <row r="13" customFormat="false" ht="15" hidden="false" customHeight="false" outlineLevel="0" collapsed="false">
      <c r="A13" s="23" t="s">
        <v>97</v>
      </c>
      <c r="B13" s="11" t="n">
        <f aca="false">SUMIFS('RFP Matrix'!G2:G13,'RFP Matrix'!B2:B13,"Runtime Posture (NHIDR)",'RFP Matrix'!E2:E13,"Advanced")</f>
        <v>0</v>
      </c>
      <c r="C13" s="11" t="n">
        <f aca="false">SUMIFS('RFP Matrix'!J2:J13,'RFP Matrix'!B2:B13,"Runtime Posture (NHIDR)",'RFP Matrix'!E2:E13,"Advanced")</f>
        <v>0</v>
      </c>
      <c r="D13" s="11" t="n">
        <f aca="false">SUMIFS('RFP Matrix'!M2:M13,'RFP Matrix'!B2:B13,"Runtime Posture (NHIDR)",'RFP Matrix'!E2:E13,"Advanced")</f>
        <v>0</v>
      </c>
    </row>
    <row r="14" customFormat="false" ht="15" hidden="false" customHeight="false" outlineLevel="0" collapsed="false">
      <c r="A14" s="20" t="s">
        <v>98</v>
      </c>
      <c r="B14" s="24" t="n">
        <f aca="false">SUM(B10:B13)</f>
        <v>0</v>
      </c>
      <c r="C14" s="24" t="n">
        <f aca="false">SUM(C10:C13)</f>
        <v>0</v>
      </c>
      <c r="D14" s="24" t="n">
        <f aca="false">SUM(D10:D13)</f>
        <v>0</v>
      </c>
    </row>
    <row r="16" customFormat="false" ht="15" hidden="false" customHeight="false" outlineLevel="0" collapsed="false">
      <c r="A16" s="25" t="s">
        <v>26</v>
      </c>
      <c r="B16" s="26" t="n">
        <f aca="false">ROUND((B6/4*40)+(B14/24*60),0)</f>
        <v>0</v>
      </c>
      <c r="C16" s="26" t="n">
        <f aca="false">ROUND((C6/4*40)+(C14/24*60),0)</f>
        <v>0</v>
      </c>
      <c r="D16" s="26" t="n">
        <f aca="false">ROUND((D6/4*40)+(D14/24*60),0)</f>
        <v>0</v>
      </c>
    </row>
    <row r="18" customFormat="false" ht="30" hidden="false" customHeight="true" outlineLevel="0" collapsed="false">
      <c r="A18" s="27" t="s">
        <v>99</v>
      </c>
      <c r="B18" s="27"/>
      <c r="C18" s="27"/>
      <c r="D18" s="27"/>
    </row>
  </sheetData>
  <mergeCells count="1"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42"/>
  </cols>
  <sheetData>
    <row r="1" customFormat="false" ht="19.7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7" t="s">
        <v>102</v>
      </c>
      <c r="B4" s="7" t="s">
        <v>103</v>
      </c>
      <c r="C4" s="7" t="s">
        <v>104</v>
      </c>
      <c r="D4" s="7" t="s">
        <v>105</v>
      </c>
    </row>
    <row r="5" customFormat="false" ht="129.75" hidden="false" customHeight="true" outlineLevel="0" collapsed="false">
      <c r="A5" s="12" t="s">
        <v>106</v>
      </c>
      <c r="B5" s="9" t="s">
        <v>107</v>
      </c>
      <c r="C5" s="9" t="s">
        <v>108</v>
      </c>
      <c r="D5" s="9" t="s">
        <v>109</v>
      </c>
    </row>
    <row r="6" customFormat="false" ht="129.75" hidden="false" customHeight="true" outlineLevel="0" collapsed="false">
      <c r="A6" s="17" t="s">
        <v>110</v>
      </c>
      <c r="B6" s="14" t="s">
        <v>111</v>
      </c>
      <c r="C6" s="14" t="s">
        <v>112</v>
      </c>
      <c r="D6" s="14" t="s">
        <v>113</v>
      </c>
    </row>
    <row r="7" customFormat="false" ht="129.75" hidden="false" customHeight="true" outlineLevel="0" collapsed="false">
      <c r="A7" s="12" t="s">
        <v>114</v>
      </c>
      <c r="B7" s="9" t="s">
        <v>115</v>
      </c>
      <c r="C7" s="9" t="s">
        <v>116</v>
      </c>
      <c r="D7" s="9" t="s">
        <v>117</v>
      </c>
    </row>
    <row r="8" customFormat="false" ht="129.75" hidden="false" customHeight="true" outlineLevel="0" collapsed="false">
      <c r="A8" s="17" t="s">
        <v>118</v>
      </c>
      <c r="B8" s="14" t="s">
        <v>119</v>
      </c>
      <c r="C8" s="14" t="s">
        <v>120</v>
      </c>
      <c r="D8" s="14" t="s">
        <v>121</v>
      </c>
    </row>
    <row r="9" customFormat="false" ht="129.75" hidden="false" customHeight="true" outlineLevel="0" collapsed="false">
      <c r="A9" s="12" t="s">
        <v>122</v>
      </c>
      <c r="B9" s="9" t="s">
        <v>123</v>
      </c>
      <c r="C9" s="9" t="s">
        <v>124</v>
      </c>
      <c r="D9" s="9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2026-06-14T22:32:53Z</dcterms:created>
  <dc:creator>openpyxl</dc:creator>
  <dc:description/>
  <dc:language>en-US</dc:language>
  <cp:lastModifiedBy/>
  <dcterms:modified xsi:type="dcterms:W3CDTF">2026-06-14T22:32:53Z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